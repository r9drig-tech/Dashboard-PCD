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  <sheet xmlns:r="http://schemas.openxmlformats.org/officeDocument/2006/relationships" name="Movimentações" sheetId="2" state="visible" r:id="rId2"/>
    <sheet xmlns:r="http://schemas.openxmlformats.org/officeDocument/2006/relationships" name="KPIs Mensais" sheetId="3" state="visible" r:id="rId3"/>
    <sheet xmlns:r="http://schemas.openxmlformats.org/officeDocument/2006/relationships" name="Resumo PC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"/>
    <numFmt numFmtId="166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4151"/>
      <sz val="9"/>
    </font>
    <font>
      <name val="Arial"/>
      <sz val="9"/>
    </font>
    <font>
      <name val="Arial"/>
      <b val="1"/>
      <sz val="9"/>
    </font>
    <font>
      <name val="Arial"/>
      <color rgb="006B7280"/>
      <sz val="9"/>
    </font>
    <font>
      <name val="Arial"/>
      <color rgb="00D1D5DB"/>
      <sz val="9"/>
    </font>
    <font>
      <name val="Arial"/>
      <b val="1"/>
      <color rgb="00065F46"/>
      <sz val="9"/>
    </font>
    <font>
      <name val="Arial"/>
      <color rgb="001E40AF"/>
      <sz val="9"/>
    </font>
    <font>
      <name val="Arial"/>
      <color rgb="00065F46"/>
      <sz val="9"/>
    </font>
    <font>
      <name val="Arial"/>
      <b val="1"/>
      <color rgb="00FFFFFF"/>
      <sz val="9"/>
    </font>
    <font>
      <name val="Arial"/>
      <i val="1"/>
      <color rgb="00374151"/>
      <sz val="9"/>
    </font>
  </fonts>
  <fills count="8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DBEAFE"/>
      </patternFill>
    </fill>
  </fills>
  <borders count="7">
    <border>
      <left/>
      <right/>
      <top/>
      <bottom/>
      <diagonal/>
    </border>
    <border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/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bottom style="thin">
        <color rgb="00D1D5DB"/>
      </bottom>
    </border>
    <border>
      <bottom style="hair">
        <color rgb="00E5E7E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3" borderId="5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1" fontId="3" fillId="4" borderId="6" applyAlignment="1" pivotButton="0" quotePrefix="0" xfId="0">
      <alignment horizontal="center" vertical="center"/>
    </xf>
    <xf numFmtId="1" fontId="3" fillId="5" borderId="6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left" vertical="center"/>
    </xf>
    <xf numFmtId="166" fontId="3" fillId="0" borderId="6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0" fontId="8" fillId="0" borderId="6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4" fillId="0" borderId="0" pivotButton="0" quotePrefix="0" xfId="0"/>
    <xf numFmtId="0" fontId="10" fillId="2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6" customWidth="1" min="4" max="4"/>
    <col width="10" customWidth="1" min="5" max="5"/>
    <col width="14" customWidth="1" min="6" max="6"/>
    <col width="14" customWidth="1" min="7" max="7"/>
    <col width="6" customWidth="1" min="8" max="8"/>
    <col width="26" customWidth="1" min="9" max="9"/>
  </cols>
  <sheetData>
    <row r="1" ht="28" customHeight="1">
      <c r="A1" s="1" t="inlineStr">
        <is>
          <t>CADASTRO DE COLABORADORES — DADOS SIMULADOS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ID</t>
        </is>
      </c>
      <c r="B2" s="4" t="inlineStr">
        <is>
          <t>Nome</t>
        </is>
      </c>
      <c r="C2" s="4" t="inlineStr">
        <is>
          <t>Área</t>
        </is>
      </c>
      <c r="D2" s="4" t="inlineStr">
        <is>
          <t>Cargo</t>
        </is>
      </c>
      <c r="E2" s="4" t="inlineStr">
        <is>
          <t>Status</t>
        </is>
      </c>
      <c r="F2" s="4" t="inlineStr">
        <is>
          <t>Data Admissão</t>
        </is>
      </c>
      <c r="G2" s="4" t="inlineStr">
        <is>
          <t>Salário (R$)</t>
        </is>
      </c>
      <c r="H2" s="4" t="inlineStr">
        <is>
          <t>PCD</t>
        </is>
      </c>
      <c r="I2" s="4" t="inlineStr">
        <is>
          <t>Tipo Deficiência</t>
        </is>
      </c>
    </row>
    <row r="3">
      <c r="A3" s="5" t="n">
        <v>1</v>
      </c>
      <c r="B3" s="6" t="inlineStr">
        <is>
          <t>Ana Lima</t>
        </is>
      </c>
      <c r="C3" s="7" t="inlineStr">
        <is>
          <t>RH</t>
        </is>
      </c>
      <c r="D3" s="7" t="inlineStr">
        <is>
          <t>Supervisor</t>
        </is>
      </c>
      <c r="E3" s="8" t="inlineStr">
        <is>
          <t>Ativo</t>
        </is>
      </c>
      <c r="F3" s="17" t="n">
        <v>44609</v>
      </c>
      <c r="G3" s="18" t="n">
        <v>3500</v>
      </c>
      <c r="H3" s="19" t="inlineStr">
        <is>
          <t>Não</t>
        </is>
      </c>
      <c r="I3" s="20" t="inlineStr">
        <is>
          <t>—</t>
        </is>
      </c>
    </row>
    <row r="4">
      <c r="A4" s="5" t="n">
        <v>2</v>
      </c>
      <c r="B4" s="6" t="inlineStr">
        <is>
          <t>Bruno Costa</t>
        </is>
      </c>
      <c r="C4" s="7" t="inlineStr">
        <is>
          <t>Comercial</t>
        </is>
      </c>
      <c r="D4" s="7" t="inlineStr">
        <is>
          <t>Analista Pleno</t>
        </is>
      </c>
      <c r="E4" s="8" t="inlineStr">
        <is>
          <t>Ativo</t>
        </is>
      </c>
      <c r="F4" s="17" t="n">
        <v>43166</v>
      </c>
      <c r="G4" s="18" t="n">
        <v>3500</v>
      </c>
      <c r="H4" s="19" t="inlineStr">
        <is>
          <t>Não</t>
        </is>
      </c>
      <c r="I4" s="20" t="inlineStr">
        <is>
          <t>—</t>
        </is>
      </c>
    </row>
    <row r="5">
      <c r="A5" s="5" t="n">
        <v>3</v>
      </c>
      <c r="B5" s="6" t="inlineStr">
        <is>
          <t>Carlos Mendes</t>
        </is>
      </c>
      <c r="C5" s="7" t="inlineStr">
        <is>
          <t>Comercial</t>
        </is>
      </c>
      <c r="D5" s="7" t="inlineStr">
        <is>
          <t>Gerente</t>
        </is>
      </c>
      <c r="E5" s="12" t="inlineStr">
        <is>
          <t>Desligado</t>
        </is>
      </c>
      <c r="F5" s="17" t="n">
        <v>44333</v>
      </c>
      <c r="G5" s="18" t="n">
        <v>3500</v>
      </c>
      <c r="H5" s="19" t="inlineStr">
        <is>
          <t>Não</t>
        </is>
      </c>
      <c r="I5" s="20" t="inlineStr">
        <is>
          <t>—</t>
        </is>
      </c>
    </row>
    <row r="6">
      <c r="A6" s="5" t="n">
        <v>4</v>
      </c>
      <c r="B6" s="6" t="inlineStr">
        <is>
          <t>Diana Rocha</t>
        </is>
      </c>
      <c r="C6" s="7" t="inlineStr">
        <is>
          <t>Projetos</t>
        </is>
      </c>
      <c r="D6" s="7" t="inlineStr">
        <is>
          <t>Supervisor</t>
        </is>
      </c>
      <c r="E6" s="12" t="inlineStr">
        <is>
          <t>Desligado</t>
        </is>
      </c>
      <c r="F6" s="17" t="n">
        <v>43960</v>
      </c>
      <c r="G6" s="18" t="n">
        <v>4200</v>
      </c>
      <c r="H6" s="19" t="inlineStr">
        <is>
          <t>Não</t>
        </is>
      </c>
      <c r="I6" s="20" t="inlineStr">
        <is>
          <t>—</t>
        </is>
      </c>
    </row>
    <row r="7">
      <c r="A7" s="5" t="n">
        <v>5</v>
      </c>
      <c r="B7" s="6" t="inlineStr">
        <is>
          <t>Eduardo Silva</t>
        </is>
      </c>
      <c r="C7" s="7" t="inlineStr">
        <is>
          <t>TI</t>
        </is>
      </c>
      <c r="D7" s="7" t="inlineStr">
        <is>
          <t>Analista Pleno</t>
        </is>
      </c>
      <c r="E7" s="8" t="inlineStr">
        <is>
          <t>Ativo</t>
        </is>
      </c>
      <c r="F7" s="17" t="n">
        <v>44758</v>
      </c>
      <c r="G7" s="18" t="n">
        <v>15000</v>
      </c>
      <c r="H7" s="21" t="inlineStr">
        <is>
          <t>Sim</t>
        </is>
      </c>
      <c r="I7" s="22" t="inlineStr">
        <is>
          <t>Auditiva (CID H90.3)</t>
        </is>
      </c>
    </row>
    <row r="8">
      <c r="A8" s="5" t="n">
        <v>6</v>
      </c>
      <c r="B8" s="6" t="inlineStr">
        <is>
          <t>Fernanda Alves</t>
        </is>
      </c>
      <c r="C8" s="7" t="inlineStr">
        <is>
          <t>Financeiro</t>
        </is>
      </c>
      <c r="D8" s="7" t="inlineStr">
        <is>
          <t>Analista Pleno</t>
        </is>
      </c>
      <c r="E8" s="8" t="inlineStr">
        <is>
          <t>Ativo</t>
        </is>
      </c>
      <c r="F8" s="17" t="n">
        <v>43797</v>
      </c>
      <c r="G8" s="18" t="n">
        <v>5800</v>
      </c>
      <c r="H8" s="19" t="inlineStr">
        <is>
          <t>Não</t>
        </is>
      </c>
      <c r="I8" s="20" t="inlineStr">
        <is>
          <t>—</t>
        </is>
      </c>
    </row>
    <row r="9">
      <c r="A9" s="5" t="n">
        <v>7</v>
      </c>
      <c r="B9" s="6" t="inlineStr">
        <is>
          <t>Gabriel Souza</t>
        </is>
      </c>
      <c r="C9" s="7" t="inlineStr">
        <is>
          <t>Jurídico</t>
        </is>
      </c>
      <c r="D9" s="7" t="inlineStr">
        <is>
          <t>Analista Jr</t>
        </is>
      </c>
      <c r="E9" s="8" t="inlineStr">
        <is>
          <t>Ativo</t>
        </is>
      </c>
      <c r="F9" s="17" t="n">
        <v>43310</v>
      </c>
      <c r="G9" s="18" t="n">
        <v>3500</v>
      </c>
      <c r="H9" s="19" t="inlineStr">
        <is>
          <t>Não</t>
        </is>
      </c>
      <c r="I9" s="20" t="inlineStr">
        <is>
          <t>—</t>
        </is>
      </c>
    </row>
    <row r="10">
      <c r="A10" s="5" t="n">
        <v>8</v>
      </c>
      <c r="B10" s="6" t="inlineStr">
        <is>
          <t>Helena Martins</t>
        </is>
      </c>
      <c r="C10" s="7" t="inlineStr">
        <is>
          <t>Operações</t>
        </is>
      </c>
      <c r="D10" s="7" t="inlineStr">
        <is>
          <t>Analista Jr</t>
        </is>
      </c>
      <c r="E10" s="8" t="inlineStr">
        <is>
          <t>Ativo</t>
        </is>
      </c>
      <c r="F10" s="17" t="n">
        <v>44836</v>
      </c>
      <c r="G10" s="18" t="n">
        <v>5800</v>
      </c>
      <c r="H10" s="21" t="inlineStr">
        <is>
          <t>Sim</t>
        </is>
      </c>
      <c r="I10" s="22" t="inlineStr">
        <is>
          <t>Motora (CID M80)</t>
        </is>
      </c>
    </row>
    <row r="11">
      <c r="A11" s="5" t="n">
        <v>9</v>
      </c>
      <c r="B11" s="6" t="inlineStr">
        <is>
          <t>Igor Ferreira</t>
        </is>
      </c>
      <c r="C11" s="7" t="inlineStr">
        <is>
          <t>Jurídico</t>
        </is>
      </c>
      <c r="D11" s="7" t="inlineStr">
        <is>
          <t>Analista Jr</t>
        </is>
      </c>
      <c r="E11" s="12" t="inlineStr">
        <is>
          <t>Desligado</t>
        </is>
      </c>
      <c r="F11" s="17" t="n">
        <v>44199</v>
      </c>
      <c r="G11" s="18" t="n">
        <v>3500</v>
      </c>
      <c r="H11" s="19" t="inlineStr">
        <is>
          <t>Não</t>
        </is>
      </c>
      <c r="I11" s="20" t="inlineStr">
        <is>
          <t>—</t>
        </is>
      </c>
    </row>
    <row r="12">
      <c r="A12" s="5" t="n">
        <v>10</v>
      </c>
      <c r="B12" s="6" t="inlineStr">
        <is>
          <t>Julia Nunes</t>
        </is>
      </c>
      <c r="C12" s="7" t="inlineStr">
        <is>
          <t>Marketing</t>
        </is>
      </c>
      <c r="D12" s="7" t="inlineStr">
        <is>
          <t>Supervisor</t>
        </is>
      </c>
      <c r="E12" s="8" t="inlineStr">
        <is>
          <t>Ativo</t>
        </is>
      </c>
      <c r="F12" s="17" t="n">
        <v>44799</v>
      </c>
      <c r="G12" s="18" t="n">
        <v>12000</v>
      </c>
      <c r="H12" s="19" t="inlineStr">
        <is>
          <t>Não</t>
        </is>
      </c>
      <c r="I12" s="20" t="inlineStr">
        <is>
          <t>—</t>
        </is>
      </c>
    </row>
    <row r="13">
      <c r="A13" s="5" t="n">
        <v>11</v>
      </c>
      <c r="B13" s="6" t="inlineStr">
        <is>
          <t>Lucas Oliveira</t>
        </is>
      </c>
      <c r="C13" s="7" t="inlineStr">
        <is>
          <t>TI</t>
        </is>
      </c>
      <c r="D13" s="7" t="inlineStr">
        <is>
          <t>Gerente</t>
        </is>
      </c>
      <c r="E13" s="8" t="inlineStr">
        <is>
          <t>Ativo</t>
        </is>
      </c>
      <c r="F13" s="17" t="n">
        <v>44543</v>
      </c>
      <c r="G13" s="18" t="n">
        <v>3500</v>
      </c>
      <c r="H13" s="19" t="inlineStr">
        <is>
          <t>Não</t>
        </is>
      </c>
      <c r="I13" s="20" t="inlineStr">
        <is>
          <t>—</t>
        </is>
      </c>
    </row>
    <row r="14">
      <c r="A14" s="5" t="n">
        <v>12</v>
      </c>
      <c r="B14" s="6" t="inlineStr">
        <is>
          <t>Mariana Santos</t>
        </is>
      </c>
      <c r="C14" s="7" t="inlineStr">
        <is>
          <t>RH</t>
        </is>
      </c>
      <c r="D14" s="7" t="inlineStr">
        <is>
          <t>Analista Pleno</t>
        </is>
      </c>
      <c r="E14" s="8" t="inlineStr">
        <is>
          <t>Ativo</t>
        </is>
      </c>
      <c r="F14" s="17" t="n">
        <v>44684</v>
      </c>
      <c r="G14" s="18" t="n">
        <v>5800</v>
      </c>
      <c r="H14" s="21" t="inlineStr">
        <is>
          <t>Sim</t>
        </is>
      </c>
      <c r="I14" s="22" t="inlineStr">
        <is>
          <t>Intelectual (CID F70)</t>
        </is>
      </c>
    </row>
    <row r="15">
      <c r="A15" s="5" t="n">
        <v>13</v>
      </c>
      <c r="B15" s="6" t="inlineStr">
        <is>
          <t>Nathan Pereira</t>
        </is>
      </c>
      <c r="C15" s="7" t="inlineStr">
        <is>
          <t>Projetos</t>
        </is>
      </c>
      <c r="D15" s="7" t="inlineStr">
        <is>
          <t>Gerente</t>
        </is>
      </c>
      <c r="E15" s="8" t="inlineStr">
        <is>
          <t>Ativo</t>
        </is>
      </c>
      <c r="F15" s="17" t="n">
        <v>43879</v>
      </c>
      <c r="G15" s="18" t="n">
        <v>5800</v>
      </c>
      <c r="H15" s="21" t="inlineStr">
        <is>
          <t>Sim</t>
        </is>
      </c>
      <c r="I15" s="22" t="inlineStr">
        <is>
          <t>Múltipla</t>
        </is>
      </c>
    </row>
    <row r="16">
      <c r="A16" s="5" t="n">
        <v>14</v>
      </c>
      <c r="B16" s="6" t="inlineStr">
        <is>
          <t>Olivia Carvalho</t>
        </is>
      </c>
      <c r="C16" s="7" t="inlineStr">
        <is>
          <t>Marketing</t>
        </is>
      </c>
      <c r="D16" s="7" t="inlineStr">
        <is>
          <t>Analista Pleno</t>
        </is>
      </c>
      <c r="E16" s="8" t="inlineStr">
        <is>
          <t>Ativo</t>
        </is>
      </c>
      <c r="F16" s="17" t="n">
        <v>43434</v>
      </c>
      <c r="G16" s="18" t="n">
        <v>5800</v>
      </c>
      <c r="H16" s="19" t="inlineStr">
        <is>
          <t>Não</t>
        </is>
      </c>
      <c r="I16" s="20" t="inlineStr">
        <is>
          <t>—</t>
        </is>
      </c>
    </row>
    <row r="17">
      <c r="A17" s="5" t="n">
        <v>15</v>
      </c>
      <c r="B17" s="6" t="inlineStr">
        <is>
          <t>Pedro Gomes</t>
        </is>
      </c>
      <c r="C17" s="7" t="inlineStr">
        <is>
          <t>Financeiro</t>
        </is>
      </c>
      <c r="D17" s="7" t="inlineStr">
        <is>
          <t>Supervisor</t>
        </is>
      </c>
      <c r="E17" s="8" t="inlineStr">
        <is>
          <t>Ativo</t>
        </is>
      </c>
      <c r="F17" s="17" t="n">
        <v>44538</v>
      </c>
      <c r="G17" s="18" t="n">
        <v>12000</v>
      </c>
      <c r="H17" s="19" t="inlineStr">
        <is>
          <t>Não</t>
        </is>
      </c>
      <c r="I17" s="20" t="inlineStr">
        <is>
          <t>—</t>
        </is>
      </c>
    </row>
    <row r="18">
      <c r="A18" s="5" t="n">
        <v>16</v>
      </c>
      <c r="B18" s="6" t="inlineStr">
        <is>
          <t>Quintino Dias</t>
        </is>
      </c>
      <c r="C18" s="7" t="inlineStr">
        <is>
          <t>Operações</t>
        </is>
      </c>
      <c r="D18" s="7" t="inlineStr">
        <is>
          <t>Gerente</t>
        </is>
      </c>
      <c r="E18" s="8" t="inlineStr">
        <is>
          <t>Ativo</t>
        </is>
      </c>
      <c r="F18" s="17" t="n">
        <v>43435</v>
      </c>
      <c r="G18" s="18" t="n">
        <v>7200</v>
      </c>
      <c r="H18" s="19" t="inlineStr">
        <is>
          <t>Não</t>
        </is>
      </c>
      <c r="I18" s="20" t="inlineStr">
        <is>
          <t>—</t>
        </is>
      </c>
    </row>
    <row r="19">
      <c r="A19" s="5" t="n">
        <v>17</v>
      </c>
      <c r="B19" s="6" t="inlineStr">
        <is>
          <t>Rafaela Torres</t>
        </is>
      </c>
      <c r="C19" s="7" t="inlineStr">
        <is>
          <t>TI</t>
        </is>
      </c>
      <c r="D19" s="7" t="inlineStr">
        <is>
          <t>Analista Pleno</t>
        </is>
      </c>
      <c r="E19" s="8" t="inlineStr">
        <is>
          <t>Ativo</t>
        </is>
      </c>
      <c r="F19" s="17" t="n">
        <v>44503</v>
      </c>
      <c r="G19" s="18" t="n">
        <v>5800</v>
      </c>
      <c r="H19" s="19" t="inlineStr">
        <is>
          <t>Não</t>
        </is>
      </c>
      <c r="I19" s="20" t="inlineStr">
        <is>
          <t>—</t>
        </is>
      </c>
    </row>
    <row r="20">
      <c r="A20" s="5" t="n">
        <v>18</v>
      </c>
      <c r="B20" s="6" t="inlineStr">
        <is>
          <t>Samuel Ribeiro</t>
        </is>
      </c>
      <c r="C20" s="7" t="inlineStr">
        <is>
          <t>Operações</t>
        </is>
      </c>
      <c r="D20" s="7" t="inlineStr">
        <is>
          <t>Analista Jr</t>
        </is>
      </c>
      <c r="E20" s="8" t="inlineStr">
        <is>
          <t>Ativo</t>
        </is>
      </c>
      <c r="F20" s="17" t="n">
        <v>44749</v>
      </c>
      <c r="G20" s="18" t="n">
        <v>5800</v>
      </c>
      <c r="H20" s="19" t="inlineStr">
        <is>
          <t>Não</t>
        </is>
      </c>
      <c r="I20" s="20" t="inlineStr">
        <is>
          <t>—</t>
        </is>
      </c>
    </row>
    <row r="21">
      <c r="A21" s="5" t="n">
        <v>19</v>
      </c>
      <c r="B21" s="6" t="inlineStr">
        <is>
          <t>Tatiana Luz</t>
        </is>
      </c>
      <c r="C21" s="7" t="inlineStr">
        <is>
          <t>Marketing</t>
        </is>
      </c>
      <c r="D21" s="7" t="inlineStr">
        <is>
          <t>Analista Pleno</t>
        </is>
      </c>
      <c r="E21" s="8" t="inlineStr">
        <is>
          <t>Ativo</t>
        </is>
      </c>
      <c r="F21" s="17" t="n">
        <v>44971</v>
      </c>
      <c r="G21" s="18" t="n">
        <v>9500</v>
      </c>
      <c r="H21" s="19" t="inlineStr">
        <is>
          <t>Não</t>
        </is>
      </c>
      <c r="I21" s="20" t="inlineStr">
        <is>
          <t>—</t>
        </is>
      </c>
    </row>
    <row r="22">
      <c r="A22" s="5" t="n">
        <v>20</v>
      </c>
      <c r="B22" s="6" t="inlineStr">
        <is>
          <t>Ulisses Moura</t>
        </is>
      </c>
      <c r="C22" s="7" t="inlineStr">
        <is>
          <t>Projetos</t>
        </is>
      </c>
      <c r="D22" s="7" t="inlineStr">
        <is>
          <t>Analista Pleno</t>
        </is>
      </c>
      <c r="E22" s="12" t="inlineStr">
        <is>
          <t>Desligado</t>
        </is>
      </c>
      <c r="F22" s="17" t="n">
        <v>43911</v>
      </c>
      <c r="G22" s="18" t="n">
        <v>12000</v>
      </c>
      <c r="H22" s="19" t="inlineStr">
        <is>
          <t>Não</t>
        </is>
      </c>
      <c r="I22" s="20" t="inlineStr">
        <is>
          <t>—</t>
        </is>
      </c>
    </row>
    <row r="23">
      <c r="A23" s="5" t="n">
        <v>21</v>
      </c>
      <c r="B23" s="6" t="inlineStr">
        <is>
          <t>Vanessa Campos</t>
        </is>
      </c>
      <c r="C23" s="7" t="inlineStr">
        <is>
          <t>Operações</t>
        </is>
      </c>
      <c r="D23" s="7" t="inlineStr">
        <is>
          <t>Gerente</t>
        </is>
      </c>
      <c r="E23" s="8" t="inlineStr">
        <is>
          <t>Ativo</t>
        </is>
      </c>
      <c r="F23" s="17" t="n">
        <v>43386</v>
      </c>
      <c r="G23" s="18" t="n">
        <v>4200</v>
      </c>
      <c r="H23" s="19" t="inlineStr">
        <is>
          <t>Não</t>
        </is>
      </c>
      <c r="I23" s="20" t="inlineStr">
        <is>
          <t>—</t>
        </is>
      </c>
    </row>
    <row r="24">
      <c r="A24" s="5" t="n">
        <v>22</v>
      </c>
      <c r="B24" s="6" t="inlineStr">
        <is>
          <t>Wagner Pinto</t>
        </is>
      </c>
      <c r="C24" s="7" t="inlineStr">
        <is>
          <t>Jurídico</t>
        </is>
      </c>
      <c r="D24" s="7" t="inlineStr">
        <is>
          <t>Analista Sr</t>
        </is>
      </c>
      <c r="E24" s="8" t="inlineStr">
        <is>
          <t>Ativo</t>
        </is>
      </c>
      <c r="F24" s="17" t="n">
        <v>44939</v>
      </c>
      <c r="G24" s="18" t="n">
        <v>9500</v>
      </c>
      <c r="H24" s="19" t="inlineStr">
        <is>
          <t>Não</t>
        </is>
      </c>
      <c r="I24" s="20" t="inlineStr">
        <is>
          <t>—</t>
        </is>
      </c>
    </row>
    <row r="25">
      <c r="A25" s="5" t="n">
        <v>23</v>
      </c>
      <c r="B25" s="6" t="inlineStr">
        <is>
          <t>Xuxa Barros</t>
        </is>
      </c>
      <c r="C25" s="7" t="inlineStr">
        <is>
          <t>Projetos</t>
        </is>
      </c>
      <c r="D25" s="7" t="inlineStr">
        <is>
          <t>Analista Jr</t>
        </is>
      </c>
      <c r="E25" s="8" t="inlineStr">
        <is>
          <t>Ativo</t>
        </is>
      </c>
      <c r="F25" s="17" t="n">
        <v>43384</v>
      </c>
      <c r="G25" s="18" t="n">
        <v>9500</v>
      </c>
      <c r="H25" s="19" t="inlineStr">
        <is>
          <t>Não</t>
        </is>
      </c>
      <c r="I25" s="20" t="inlineStr">
        <is>
          <t>—</t>
        </is>
      </c>
    </row>
    <row r="26">
      <c r="A26" s="5" t="n">
        <v>24</v>
      </c>
      <c r="B26" s="6" t="inlineStr">
        <is>
          <t>Yasmin Faria</t>
        </is>
      </c>
      <c r="C26" s="7" t="inlineStr">
        <is>
          <t>Financeiro</t>
        </is>
      </c>
      <c r="D26" s="7" t="inlineStr">
        <is>
          <t>Gerente</t>
        </is>
      </c>
      <c r="E26" s="8" t="inlineStr">
        <is>
          <t>Ativo</t>
        </is>
      </c>
      <c r="F26" s="17" t="n">
        <v>44864</v>
      </c>
      <c r="G26" s="18" t="n">
        <v>3500</v>
      </c>
      <c r="H26" s="19" t="inlineStr">
        <is>
          <t>Não</t>
        </is>
      </c>
      <c r="I26" s="20" t="inlineStr">
        <is>
          <t>—</t>
        </is>
      </c>
    </row>
    <row r="27">
      <c r="A27" s="5" t="n">
        <v>25</v>
      </c>
      <c r="B27" s="6" t="inlineStr">
        <is>
          <t>Zé Cardoso</t>
        </is>
      </c>
      <c r="C27" s="7" t="inlineStr">
        <is>
          <t>Jurídico</t>
        </is>
      </c>
      <c r="D27" s="7" t="inlineStr">
        <is>
          <t>Supervisor</t>
        </is>
      </c>
      <c r="E27" s="8" t="inlineStr">
        <is>
          <t>Ativo</t>
        </is>
      </c>
      <c r="F27" s="17" t="n">
        <v>44723</v>
      </c>
      <c r="G27" s="18" t="n">
        <v>12000</v>
      </c>
      <c r="H27" s="21" t="inlineStr">
        <is>
          <t>Sim</t>
        </is>
      </c>
      <c r="I27" s="22" t="inlineStr">
        <is>
          <t>Múltipla</t>
        </is>
      </c>
    </row>
    <row r="28">
      <c r="A28" s="5" t="n">
        <v>26</v>
      </c>
      <c r="B28" s="6" t="inlineStr">
        <is>
          <t>Adriana Castro</t>
        </is>
      </c>
      <c r="C28" s="7" t="inlineStr">
        <is>
          <t>Projetos</t>
        </is>
      </c>
      <c r="D28" s="7" t="inlineStr">
        <is>
          <t>Supervisor</t>
        </is>
      </c>
      <c r="E28" s="8" t="inlineStr">
        <is>
          <t>Ativo</t>
        </is>
      </c>
      <c r="F28" s="17" t="n">
        <v>43889</v>
      </c>
      <c r="G28" s="18" t="n">
        <v>7200</v>
      </c>
      <c r="H28" s="21" t="inlineStr">
        <is>
          <t>Sim</t>
        </is>
      </c>
      <c r="I28" s="22" t="inlineStr">
        <is>
          <t>Auditiva (CID H90.3)</t>
        </is>
      </c>
    </row>
    <row r="29">
      <c r="A29" s="5" t="n">
        <v>27</v>
      </c>
      <c r="B29" s="6" t="inlineStr">
        <is>
          <t>Bernardo Lima</t>
        </is>
      </c>
      <c r="C29" s="7" t="inlineStr">
        <is>
          <t>TI</t>
        </is>
      </c>
      <c r="D29" s="7" t="inlineStr">
        <is>
          <t>Gerente</t>
        </is>
      </c>
      <c r="E29" s="8" t="inlineStr">
        <is>
          <t>Ativo</t>
        </is>
      </c>
      <c r="F29" s="17" t="n">
        <v>45089</v>
      </c>
      <c r="G29" s="18" t="n">
        <v>9500</v>
      </c>
      <c r="H29" s="19" t="inlineStr">
        <is>
          <t>Não</t>
        </is>
      </c>
      <c r="I29" s="20" t="inlineStr">
        <is>
          <t>—</t>
        </is>
      </c>
    </row>
    <row r="30">
      <c r="A30" s="5" t="n">
        <v>28</v>
      </c>
      <c r="B30" s="6" t="inlineStr">
        <is>
          <t>Camila Freitas</t>
        </is>
      </c>
      <c r="C30" s="7" t="inlineStr">
        <is>
          <t>Operações</t>
        </is>
      </c>
      <c r="D30" s="7" t="inlineStr">
        <is>
          <t>Gerente</t>
        </is>
      </c>
      <c r="E30" s="8" t="inlineStr">
        <is>
          <t>Ativo</t>
        </is>
      </c>
      <c r="F30" s="17" t="n">
        <v>44497</v>
      </c>
      <c r="G30" s="18" t="n">
        <v>9500</v>
      </c>
      <c r="H30" s="19" t="inlineStr">
        <is>
          <t>Não</t>
        </is>
      </c>
      <c r="I30" s="20" t="inlineStr">
        <is>
          <t>—</t>
        </is>
      </c>
    </row>
    <row r="31">
      <c r="A31" s="5" t="n">
        <v>29</v>
      </c>
      <c r="B31" s="6" t="inlineStr">
        <is>
          <t>Daniel Cruz</t>
        </is>
      </c>
      <c r="C31" s="7" t="inlineStr">
        <is>
          <t>Jurídico</t>
        </is>
      </c>
      <c r="D31" s="7" t="inlineStr">
        <is>
          <t>Analista Pleno</t>
        </is>
      </c>
      <c r="E31" s="8" t="inlineStr">
        <is>
          <t>Ativo</t>
        </is>
      </c>
      <c r="F31" s="17" t="n">
        <v>43329</v>
      </c>
      <c r="G31" s="18" t="n">
        <v>5800</v>
      </c>
      <c r="H31" s="19" t="inlineStr">
        <is>
          <t>Não</t>
        </is>
      </c>
      <c r="I31" s="20" t="inlineStr">
        <is>
          <t>—</t>
        </is>
      </c>
    </row>
    <row r="32">
      <c r="A32" s="5" t="n">
        <v>30</v>
      </c>
      <c r="B32" s="6" t="inlineStr">
        <is>
          <t>Elaine Soares</t>
        </is>
      </c>
      <c r="C32" s="7" t="inlineStr">
        <is>
          <t>Operações</t>
        </is>
      </c>
      <c r="D32" s="7" t="inlineStr">
        <is>
          <t>Supervisor</t>
        </is>
      </c>
      <c r="E32" s="12" t="inlineStr">
        <is>
          <t>Desligado</t>
        </is>
      </c>
      <c r="F32" s="17" t="n">
        <v>43107</v>
      </c>
      <c r="G32" s="18" t="n">
        <v>12000</v>
      </c>
      <c r="H32" s="19" t="inlineStr">
        <is>
          <t>Não</t>
        </is>
      </c>
      <c r="I32" s="20" t="inlineStr">
        <is>
          <t>—</t>
        </is>
      </c>
    </row>
    <row r="33">
      <c r="A33" s="5" t="n">
        <v>31</v>
      </c>
      <c r="B33" s="6" t="inlineStr">
        <is>
          <t>Fábio Lopes</t>
        </is>
      </c>
      <c r="C33" s="7" t="inlineStr">
        <is>
          <t>Operações</t>
        </is>
      </c>
      <c r="D33" s="7" t="inlineStr">
        <is>
          <t>Gerente</t>
        </is>
      </c>
      <c r="E33" s="8" t="inlineStr">
        <is>
          <t>Ativo</t>
        </is>
      </c>
      <c r="F33" s="17" t="n">
        <v>44140</v>
      </c>
      <c r="G33" s="18" t="n">
        <v>3500</v>
      </c>
      <c r="H33" s="21" t="inlineStr">
        <is>
          <t>Sim</t>
        </is>
      </c>
      <c r="I33" s="22" t="inlineStr">
        <is>
          <t>Múltipla</t>
        </is>
      </c>
    </row>
    <row r="34">
      <c r="A34" s="5" t="n">
        <v>32</v>
      </c>
      <c r="B34" s="6" t="inlineStr">
        <is>
          <t>Gisele Teixeira</t>
        </is>
      </c>
      <c r="C34" s="7" t="inlineStr">
        <is>
          <t>Financeiro</t>
        </is>
      </c>
      <c r="D34" s="7" t="inlineStr">
        <is>
          <t>Analista Sr</t>
        </is>
      </c>
      <c r="E34" s="12" t="inlineStr">
        <is>
          <t>Desligado</t>
        </is>
      </c>
      <c r="F34" s="17" t="n">
        <v>44348</v>
      </c>
      <c r="G34" s="18" t="n">
        <v>4200</v>
      </c>
      <c r="H34" s="19" t="inlineStr">
        <is>
          <t>Não</t>
        </is>
      </c>
      <c r="I34" s="20" t="inlineStr">
        <is>
          <t>—</t>
        </is>
      </c>
    </row>
    <row r="35">
      <c r="A35" s="5" t="n">
        <v>33</v>
      </c>
      <c r="B35" s="6" t="inlineStr">
        <is>
          <t>Henrique Vieira</t>
        </is>
      </c>
      <c r="C35" s="7" t="inlineStr">
        <is>
          <t>TI</t>
        </is>
      </c>
      <c r="D35" s="7" t="inlineStr">
        <is>
          <t>Supervisor</t>
        </is>
      </c>
      <c r="E35" s="8" t="inlineStr">
        <is>
          <t>Ativo</t>
        </is>
      </c>
      <c r="F35" s="17" t="n">
        <v>44205</v>
      </c>
      <c r="G35" s="18" t="n">
        <v>15000</v>
      </c>
      <c r="H35" s="19" t="inlineStr">
        <is>
          <t>Não</t>
        </is>
      </c>
      <c r="I35" s="20" t="inlineStr">
        <is>
          <t>—</t>
        </is>
      </c>
    </row>
    <row r="36">
      <c r="A36" s="5" t="n">
        <v>34</v>
      </c>
      <c r="B36" s="6" t="inlineStr">
        <is>
          <t>Isabela Moraes</t>
        </is>
      </c>
      <c r="C36" s="7" t="inlineStr">
        <is>
          <t>RH</t>
        </is>
      </c>
      <c r="D36" s="7" t="inlineStr">
        <is>
          <t>Analista Sr</t>
        </is>
      </c>
      <c r="E36" s="8" t="inlineStr">
        <is>
          <t>Ativo</t>
        </is>
      </c>
      <c r="F36" s="17" t="n">
        <v>44101</v>
      </c>
      <c r="G36" s="18" t="n">
        <v>3500</v>
      </c>
      <c r="H36" s="19" t="inlineStr">
        <is>
          <t>Não</t>
        </is>
      </c>
      <c r="I36" s="20" t="inlineStr">
        <is>
          <t>—</t>
        </is>
      </c>
    </row>
    <row r="37">
      <c r="A37" s="5" t="n">
        <v>35</v>
      </c>
      <c r="B37" s="6" t="inlineStr">
        <is>
          <t>João Batista</t>
        </is>
      </c>
      <c r="C37" s="7" t="inlineStr">
        <is>
          <t>Comercial</t>
        </is>
      </c>
      <c r="D37" s="7" t="inlineStr">
        <is>
          <t>Supervisor</t>
        </is>
      </c>
      <c r="E37" s="8" t="inlineStr">
        <is>
          <t>Ativo</t>
        </is>
      </c>
      <c r="F37" s="17" t="n">
        <v>43591</v>
      </c>
      <c r="G37" s="18" t="n">
        <v>3500</v>
      </c>
      <c r="H37" s="19" t="inlineStr">
        <is>
          <t>Não</t>
        </is>
      </c>
      <c r="I37" s="20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4" customWidth="1" min="5" max="5"/>
    <col width="22" customWidth="1" min="6" max="6"/>
    <col width="10" customWidth="1" min="7" max="7"/>
  </cols>
  <sheetData>
    <row r="1" ht="28" customHeight="1">
      <c r="A1" s="1" t="inlineStr">
        <is>
          <t>HISTÓRICO DE ADMISSÕES E DESLIGAMENTOS — DADOS SIMULADOS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ID</t>
        </is>
      </c>
      <c r="B2" s="4" t="inlineStr">
        <is>
          <t>Nome</t>
        </is>
      </c>
      <c r="C2" s="4" t="inlineStr">
        <is>
          <t>Área</t>
        </is>
      </c>
      <c r="D2" s="4" t="inlineStr">
        <is>
          <t>Tipo</t>
        </is>
      </c>
      <c r="E2" s="4" t="inlineStr">
        <is>
          <t>Data</t>
        </is>
      </c>
      <c r="F2" s="4" t="inlineStr">
        <is>
          <t>Motivo Saída</t>
        </is>
      </c>
      <c r="G2" s="4" t="inlineStr">
        <is>
          <t>Mês/Ano</t>
        </is>
      </c>
    </row>
    <row r="3">
      <c r="A3" s="5" t="n">
        <v>1</v>
      </c>
      <c r="B3" s="6" t="inlineStr">
        <is>
          <t>Ana Lima</t>
        </is>
      </c>
      <c r="C3" s="7" t="inlineStr">
        <is>
          <t>RH</t>
        </is>
      </c>
      <c r="D3" s="8" t="inlineStr">
        <is>
          <t>Admissão</t>
        </is>
      </c>
      <c r="E3" s="17" t="n">
        <v>43992</v>
      </c>
      <c r="F3" s="7" t="inlineStr">
        <is>
          <t>—</t>
        </is>
      </c>
      <c r="G3" s="7" t="inlineStr">
        <is>
          <t>06/2020</t>
        </is>
      </c>
    </row>
    <row r="4">
      <c r="A4" s="5" t="n">
        <v>2</v>
      </c>
      <c r="B4" s="6" t="inlineStr">
        <is>
          <t>Bruno Costa</t>
        </is>
      </c>
      <c r="C4" s="7" t="inlineStr">
        <is>
          <t>Projetos</t>
        </is>
      </c>
      <c r="D4" s="8" t="inlineStr">
        <is>
          <t>Admissão</t>
        </is>
      </c>
      <c r="E4" s="17" t="n">
        <v>45329</v>
      </c>
      <c r="F4" s="7" t="inlineStr">
        <is>
          <t>—</t>
        </is>
      </c>
      <c r="G4" s="7" t="inlineStr">
        <is>
          <t>02/2024</t>
        </is>
      </c>
    </row>
    <row r="5">
      <c r="A5" s="5" t="n">
        <v>3</v>
      </c>
      <c r="B5" s="6" t="inlineStr">
        <is>
          <t>Carlos Mendes</t>
        </is>
      </c>
      <c r="C5" s="7" t="inlineStr">
        <is>
          <t>RH</t>
        </is>
      </c>
      <c r="D5" s="8" t="inlineStr">
        <is>
          <t>Admissão</t>
        </is>
      </c>
      <c r="E5" s="17" t="n">
        <v>45502</v>
      </c>
      <c r="F5" s="7" t="inlineStr">
        <is>
          <t>—</t>
        </is>
      </c>
      <c r="G5" s="7" t="inlineStr">
        <is>
          <t>07/2024</t>
        </is>
      </c>
    </row>
    <row r="6">
      <c r="A6" s="5" t="n">
        <v>4</v>
      </c>
      <c r="B6" s="6" t="inlineStr">
        <is>
          <t>Diana Rocha</t>
        </is>
      </c>
      <c r="C6" s="7" t="inlineStr">
        <is>
          <t>Financeiro</t>
        </is>
      </c>
      <c r="D6" s="8" t="inlineStr">
        <is>
          <t>Admissão</t>
        </is>
      </c>
      <c r="E6" s="17" t="n">
        <v>45388</v>
      </c>
      <c r="F6" s="7" t="inlineStr">
        <is>
          <t>—</t>
        </is>
      </c>
      <c r="G6" s="7" t="inlineStr">
        <is>
          <t>04/2024</t>
        </is>
      </c>
    </row>
    <row r="7">
      <c r="A7" s="5" t="n">
        <v>5</v>
      </c>
      <c r="B7" s="6" t="inlineStr">
        <is>
          <t>Eduardo Silva</t>
        </is>
      </c>
      <c r="C7" s="7" t="inlineStr">
        <is>
          <t>Projetos</t>
        </is>
      </c>
      <c r="D7" s="8" t="inlineStr">
        <is>
          <t>Admissão</t>
        </is>
      </c>
      <c r="E7" s="17" t="n">
        <v>44093</v>
      </c>
      <c r="F7" s="7" t="inlineStr">
        <is>
          <t>—</t>
        </is>
      </c>
      <c r="G7" s="7" t="inlineStr">
        <is>
          <t>09/2020</t>
        </is>
      </c>
    </row>
    <row r="8">
      <c r="A8" s="5" t="n">
        <v>6</v>
      </c>
      <c r="B8" s="6" t="inlineStr">
        <is>
          <t>Fernanda Alves</t>
        </is>
      </c>
      <c r="C8" s="7" t="inlineStr">
        <is>
          <t>Financeiro</t>
        </is>
      </c>
      <c r="D8" s="8" t="inlineStr">
        <is>
          <t>Admissão</t>
        </is>
      </c>
      <c r="E8" s="17" t="n">
        <v>44956</v>
      </c>
      <c r="F8" s="7" t="inlineStr">
        <is>
          <t>—</t>
        </is>
      </c>
      <c r="G8" s="7" t="inlineStr">
        <is>
          <t>01/2023</t>
        </is>
      </c>
    </row>
    <row r="9">
      <c r="A9" s="5" t="n">
        <v>7</v>
      </c>
      <c r="B9" s="6" t="inlineStr">
        <is>
          <t>Gabriel Souza</t>
        </is>
      </c>
      <c r="C9" s="7" t="inlineStr">
        <is>
          <t>Jurídico</t>
        </is>
      </c>
      <c r="D9" s="8" t="inlineStr">
        <is>
          <t>Admissão</t>
        </is>
      </c>
      <c r="E9" s="17" t="n">
        <v>44373</v>
      </c>
      <c r="F9" s="7" t="inlineStr">
        <is>
          <t>—</t>
        </is>
      </c>
      <c r="G9" s="7" t="inlineStr">
        <is>
          <t>06/2021</t>
        </is>
      </c>
    </row>
    <row r="10">
      <c r="A10" s="5" t="n">
        <v>8</v>
      </c>
      <c r="B10" s="6" t="inlineStr">
        <is>
          <t>Helena Martins</t>
        </is>
      </c>
      <c r="C10" s="7" t="inlineStr">
        <is>
          <t>Comercial</t>
        </is>
      </c>
      <c r="D10" s="8" t="inlineStr">
        <is>
          <t>Admissão</t>
        </is>
      </c>
      <c r="E10" s="17" t="n">
        <v>44264</v>
      </c>
      <c r="F10" s="7" t="inlineStr">
        <is>
          <t>—</t>
        </is>
      </c>
      <c r="G10" s="7" t="inlineStr">
        <is>
          <t>03/2021</t>
        </is>
      </c>
    </row>
    <row r="11">
      <c r="A11" s="5" t="n">
        <v>9</v>
      </c>
      <c r="B11" s="6" t="inlineStr">
        <is>
          <t>Igor Ferreira</t>
        </is>
      </c>
      <c r="C11" s="7" t="inlineStr">
        <is>
          <t>Operações</t>
        </is>
      </c>
      <c r="D11" s="8" t="inlineStr">
        <is>
          <t>Admissão</t>
        </is>
      </c>
      <c r="E11" s="17" t="n">
        <v>45291</v>
      </c>
      <c r="F11" s="7" t="inlineStr">
        <is>
          <t>—</t>
        </is>
      </c>
      <c r="G11" s="7" t="inlineStr">
        <is>
          <t>12/2023</t>
        </is>
      </c>
    </row>
    <row r="12">
      <c r="A12" s="5" t="n">
        <v>10</v>
      </c>
      <c r="B12" s="6" t="inlineStr">
        <is>
          <t>Julia Nunes</t>
        </is>
      </c>
      <c r="C12" s="7" t="inlineStr">
        <is>
          <t>Marketing</t>
        </is>
      </c>
      <c r="D12" s="8" t="inlineStr">
        <is>
          <t>Admissão</t>
        </is>
      </c>
      <c r="E12" s="17" t="n">
        <v>44648</v>
      </c>
      <c r="F12" s="7" t="inlineStr">
        <is>
          <t>—</t>
        </is>
      </c>
      <c r="G12" s="7" t="inlineStr">
        <is>
          <t>03/2022</t>
        </is>
      </c>
    </row>
    <row r="13">
      <c r="A13" s="5" t="n">
        <v>11</v>
      </c>
      <c r="B13" s="6" t="inlineStr">
        <is>
          <t>Lucas Oliveira</t>
        </is>
      </c>
      <c r="C13" s="7" t="inlineStr">
        <is>
          <t>Projetos</t>
        </is>
      </c>
      <c r="D13" s="8" t="inlineStr">
        <is>
          <t>Admissão</t>
        </is>
      </c>
      <c r="E13" s="17" t="n">
        <v>44728</v>
      </c>
      <c r="F13" s="7" t="inlineStr">
        <is>
          <t>—</t>
        </is>
      </c>
      <c r="G13" s="7" t="inlineStr">
        <is>
          <t>06/2022</t>
        </is>
      </c>
    </row>
    <row r="14">
      <c r="A14" s="5" t="n">
        <v>12</v>
      </c>
      <c r="B14" s="6" t="inlineStr">
        <is>
          <t>Mariana Santos</t>
        </is>
      </c>
      <c r="C14" s="7" t="inlineStr">
        <is>
          <t>Comercial</t>
        </is>
      </c>
      <c r="D14" s="8" t="inlineStr">
        <is>
          <t>Admissão</t>
        </is>
      </c>
      <c r="E14" s="17" t="n">
        <v>44078</v>
      </c>
      <c r="F14" s="7" t="inlineStr">
        <is>
          <t>—</t>
        </is>
      </c>
      <c r="G14" s="7" t="inlineStr">
        <is>
          <t>09/2020</t>
        </is>
      </c>
    </row>
    <row r="15">
      <c r="A15" s="5" t="n">
        <v>13</v>
      </c>
      <c r="B15" s="6" t="inlineStr">
        <is>
          <t>Nathan Pereira</t>
        </is>
      </c>
      <c r="C15" s="7" t="inlineStr">
        <is>
          <t>RH</t>
        </is>
      </c>
      <c r="D15" s="8" t="inlineStr">
        <is>
          <t>Admissão</t>
        </is>
      </c>
      <c r="E15" s="17" t="n">
        <v>44291</v>
      </c>
      <c r="F15" s="7" t="inlineStr">
        <is>
          <t>—</t>
        </is>
      </c>
      <c r="G15" s="7" t="inlineStr">
        <is>
          <t>04/2021</t>
        </is>
      </c>
    </row>
    <row r="16">
      <c r="A16" s="5" t="n">
        <v>14</v>
      </c>
      <c r="B16" s="6" t="inlineStr">
        <is>
          <t>Olivia Carvalho</t>
        </is>
      </c>
      <c r="C16" s="7" t="inlineStr">
        <is>
          <t>TI</t>
        </is>
      </c>
      <c r="D16" s="8" t="inlineStr">
        <is>
          <t>Admissão</t>
        </is>
      </c>
      <c r="E16" s="17" t="n">
        <v>44523</v>
      </c>
      <c r="F16" s="7" t="inlineStr">
        <is>
          <t>—</t>
        </is>
      </c>
      <c r="G16" s="7" t="inlineStr">
        <is>
          <t>11/2021</t>
        </is>
      </c>
    </row>
    <row r="17">
      <c r="A17" s="5" t="n">
        <v>15</v>
      </c>
      <c r="B17" s="6" t="inlineStr">
        <is>
          <t>Pedro Gomes</t>
        </is>
      </c>
      <c r="C17" s="7" t="inlineStr">
        <is>
          <t>Comercial</t>
        </is>
      </c>
      <c r="D17" s="8" t="inlineStr">
        <is>
          <t>Admissão</t>
        </is>
      </c>
      <c r="E17" s="17" t="n">
        <v>45035</v>
      </c>
      <c r="F17" s="7" t="inlineStr">
        <is>
          <t>—</t>
        </is>
      </c>
      <c r="G17" s="7" t="inlineStr">
        <is>
          <t>04/2023</t>
        </is>
      </c>
    </row>
    <row r="18">
      <c r="A18" s="5" t="n">
        <v>16</v>
      </c>
      <c r="B18" s="6" t="inlineStr">
        <is>
          <t>Quintino Dias</t>
        </is>
      </c>
      <c r="C18" s="7" t="inlineStr">
        <is>
          <t>Comercial</t>
        </is>
      </c>
      <c r="D18" s="8" t="inlineStr">
        <is>
          <t>Admissão</t>
        </is>
      </c>
      <c r="E18" s="17" t="n">
        <v>45036</v>
      </c>
      <c r="F18" s="7" t="inlineStr">
        <is>
          <t>—</t>
        </is>
      </c>
      <c r="G18" s="7" t="inlineStr">
        <is>
          <t>04/2023</t>
        </is>
      </c>
    </row>
    <row r="19">
      <c r="A19" s="5" t="n">
        <v>17</v>
      </c>
      <c r="B19" s="6" t="inlineStr">
        <is>
          <t>Rafaela Torres</t>
        </is>
      </c>
      <c r="C19" s="7" t="inlineStr">
        <is>
          <t>RH</t>
        </is>
      </c>
      <c r="D19" s="8" t="inlineStr">
        <is>
          <t>Admissão</t>
        </is>
      </c>
      <c r="E19" s="17" t="n">
        <v>43845</v>
      </c>
      <c r="F19" s="7" t="inlineStr">
        <is>
          <t>—</t>
        </is>
      </c>
      <c r="G19" s="7" t="inlineStr">
        <is>
          <t>01/2020</t>
        </is>
      </c>
    </row>
    <row r="20">
      <c r="A20" s="5" t="n">
        <v>18</v>
      </c>
      <c r="B20" s="6" t="inlineStr">
        <is>
          <t>Samuel Ribeiro</t>
        </is>
      </c>
      <c r="C20" s="7" t="inlineStr">
        <is>
          <t>TI</t>
        </is>
      </c>
      <c r="D20" s="8" t="inlineStr">
        <is>
          <t>Admissão</t>
        </is>
      </c>
      <c r="E20" s="17" t="n">
        <v>45280</v>
      </c>
      <c r="F20" s="7" t="inlineStr">
        <is>
          <t>—</t>
        </is>
      </c>
      <c r="G20" s="7" t="inlineStr">
        <is>
          <t>12/2023</t>
        </is>
      </c>
    </row>
    <row r="21">
      <c r="A21" s="5" t="n">
        <v>19</v>
      </c>
      <c r="B21" s="6" t="inlineStr">
        <is>
          <t>Tatiana Luz</t>
        </is>
      </c>
      <c r="C21" s="7" t="inlineStr">
        <is>
          <t>RH</t>
        </is>
      </c>
      <c r="D21" s="8" t="inlineStr">
        <is>
          <t>Admissão</t>
        </is>
      </c>
      <c r="E21" s="17" t="n">
        <v>44299</v>
      </c>
      <c r="F21" s="7" t="inlineStr">
        <is>
          <t>—</t>
        </is>
      </c>
      <c r="G21" s="7" t="inlineStr">
        <is>
          <t>04/2021</t>
        </is>
      </c>
    </row>
    <row r="22">
      <c r="A22" s="5" t="n">
        <v>20</v>
      </c>
      <c r="B22" s="6" t="inlineStr">
        <is>
          <t>Ulisses Moura</t>
        </is>
      </c>
      <c r="C22" s="7" t="inlineStr">
        <is>
          <t>Marketing</t>
        </is>
      </c>
      <c r="D22" s="8" t="inlineStr">
        <is>
          <t>Admissão</t>
        </is>
      </c>
      <c r="E22" s="17" t="n">
        <v>43895</v>
      </c>
      <c r="F22" s="7" t="inlineStr">
        <is>
          <t>—</t>
        </is>
      </c>
      <c r="G22" s="7" t="inlineStr">
        <is>
          <t>03/2020</t>
        </is>
      </c>
    </row>
    <row r="23">
      <c r="A23" s="5" t="n">
        <v>21</v>
      </c>
      <c r="B23" s="6" t="inlineStr">
        <is>
          <t>Vanessa Campos</t>
        </is>
      </c>
      <c r="C23" s="7" t="inlineStr">
        <is>
          <t>Comercial</t>
        </is>
      </c>
      <c r="D23" s="12" t="inlineStr">
        <is>
          <t>Desligamento</t>
        </is>
      </c>
      <c r="E23" s="17" t="n">
        <v>44999</v>
      </c>
      <c r="F23" s="7" t="inlineStr">
        <is>
          <t>Término contrato</t>
        </is>
      </c>
      <c r="G23" s="7" t="inlineStr">
        <is>
          <t>03/2023</t>
        </is>
      </c>
    </row>
    <row r="24">
      <c r="A24" s="5" t="n">
        <v>22</v>
      </c>
      <c r="B24" s="6" t="inlineStr">
        <is>
          <t>Wagner Pinto</t>
        </is>
      </c>
      <c r="C24" s="7" t="inlineStr">
        <is>
          <t>Projetos</t>
        </is>
      </c>
      <c r="D24" s="12" t="inlineStr">
        <is>
          <t>Desligamento</t>
        </is>
      </c>
      <c r="E24" s="17" t="n">
        <v>45612</v>
      </c>
      <c r="F24" s="7" t="inlineStr">
        <is>
          <t>Demissão s/ justa causa</t>
        </is>
      </c>
      <c r="G24" s="7" t="inlineStr">
        <is>
          <t>11/2024</t>
        </is>
      </c>
    </row>
    <row r="25">
      <c r="A25" s="5" t="n">
        <v>23</v>
      </c>
      <c r="B25" s="6" t="inlineStr">
        <is>
          <t>Xuxa Barros</t>
        </is>
      </c>
      <c r="C25" s="7" t="inlineStr">
        <is>
          <t>Financeiro</t>
        </is>
      </c>
      <c r="D25" s="12" t="inlineStr">
        <is>
          <t>Desligamento</t>
        </is>
      </c>
      <c r="E25" s="17" t="n">
        <v>45479</v>
      </c>
      <c r="F25" s="7" t="inlineStr">
        <is>
          <t>Aposentadoria</t>
        </is>
      </c>
      <c r="G25" s="7" t="inlineStr">
        <is>
          <t>07/2024</t>
        </is>
      </c>
    </row>
    <row r="26">
      <c r="A26" s="5" t="n">
        <v>24</v>
      </c>
      <c r="B26" s="6" t="inlineStr">
        <is>
          <t>Yasmin Faria</t>
        </is>
      </c>
      <c r="C26" s="7" t="inlineStr">
        <is>
          <t>Projetos</t>
        </is>
      </c>
      <c r="D26" s="12" t="inlineStr">
        <is>
          <t>Desligamento</t>
        </is>
      </c>
      <c r="E26" s="17" t="n">
        <v>45517</v>
      </c>
      <c r="F26" s="7" t="inlineStr">
        <is>
          <t>Demissão s/ justa causa</t>
        </is>
      </c>
      <c r="G26" s="7" t="inlineStr">
        <is>
          <t>08/2024</t>
        </is>
      </c>
    </row>
    <row r="27">
      <c r="A27" s="5" t="n">
        <v>25</v>
      </c>
      <c r="B27" s="6" t="inlineStr">
        <is>
          <t>Zé Cardoso</t>
        </is>
      </c>
      <c r="C27" s="7" t="inlineStr">
        <is>
          <t>Jurídico</t>
        </is>
      </c>
      <c r="D27" s="12" t="inlineStr">
        <is>
          <t>Desligamento</t>
        </is>
      </c>
      <c r="E27" s="17" t="n">
        <v>45411</v>
      </c>
      <c r="F27" s="7" t="inlineStr">
        <is>
          <t>Demissão s/ justa causa</t>
        </is>
      </c>
      <c r="G27" s="7" t="inlineStr">
        <is>
          <t>04/2024</t>
        </is>
      </c>
    </row>
    <row r="28">
      <c r="A28" s="5" t="n">
        <v>26</v>
      </c>
      <c r="B28" s="6" t="inlineStr">
        <is>
          <t>Adriana Castro</t>
        </is>
      </c>
      <c r="C28" s="7" t="inlineStr">
        <is>
          <t>RH</t>
        </is>
      </c>
      <c r="D28" s="12" t="inlineStr">
        <is>
          <t>Desligamento</t>
        </is>
      </c>
      <c r="E28" s="17" t="n">
        <v>45023</v>
      </c>
      <c r="F28" s="7" t="inlineStr">
        <is>
          <t>Acordo</t>
        </is>
      </c>
      <c r="G28" s="7" t="inlineStr">
        <is>
          <t>04/2023</t>
        </is>
      </c>
    </row>
    <row r="29">
      <c r="A29" s="5" t="n">
        <v>27</v>
      </c>
      <c r="B29" s="6" t="inlineStr">
        <is>
          <t>Bernardo Lima</t>
        </is>
      </c>
      <c r="C29" s="7" t="inlineStr">
        <is>
          <t>Jurídico</t>
        </is>
      </c>
      <c r="D29" s="12" t="inlineStr">
        <is>
          <t>Desligamento</t>
        </is>
      </c>
      <c r="E29" s="17" t="n">
        <v>45289</v>
      </c>
      <c r="F29" s="7" t="inlineStr">
        <is>
          <t>Acordo</t>
        </is>
      </c>
      <c r="G29" s="7" t="inlineStr">
        <is>
          <t>12/2023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8" customHeight="1">
      <c r="A1" s="1" t="inlineStr">
        <is>
          <t>KPIs MENSAIS DE RH — DADOS SIMULADOS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Mês</t>
        </is>
      </c>
      <c r="B2" s="4" t="inlineStr">
        <is>
          <t>Headcount</t>
        </is>
      </c>
      <c r="C2" s="4" t="inlineStr">
        <is>
          <t>Admissões</t>
        </is>
      </c>
      <c r="D2" s="4" t="inlineStr">
        <is>
          <t>Desligamentos</t>
        </is>
      </c>
      <c r="E2" s="4" t="inlineStr">
        <is>
          <t>Headcount Final</t>
        </is>
      </c>
      <c r="F2" s="4" t="inlineStr">
        <is>
          <t>Turnover %</t>
        </is>
      </c>
      <c r="G2" s="4" t="inlineStr">
        <is>
          <t>% PCD</t>
        </is>
      </c>
    </row>
    <row r="3">
      <c r="A3" s="11" t="inlineStr">
        <is>
          <t>Jan/2024</t>
        </is>
      </c>
      <c r="B3" s="5" t="n">
        <v>28</v>
      </c>
      <c r="C3" s="13" t="n">
        <v>3</v>
      </c>
      <c r="D3" s="14" t="n">
        <v>2</v>
      </c>
      <c r="E3" s="15" t="n">
        <v>29</v>
      </c>
      <c r="F3" s="23">
        <f>D3/((B3+E3)/2)</f>
        <v/>
      </c>
      <c r="G3" s="23" t="n">
        <v>0.052</v>
      </c>
    </row>
    <row r="4">
      <c r="A4" s="11" t="inlineStr">
        <is>
          <t>Feb/2024</t>
        </is>
      </c>
      <c r="B4" s="5" t="n">
        <v>29</v>
      </c>
      <c r="C4" s="5" t="n">
        <v>0</v>
      </c>
      <c r="D4" s="5" t="n">
        <v>0</v>
      </c>
      <c r="E4" s="15" t="n">
        <v>29</v>
      </c>
      <c r="F4" s="23">
        <f>D4/((B4+E4)/2)</f>
        <v/>
      </c>
      <c r="G4" s="23" t="n">
        <v>0.062</v>
      </c>
    </row>
    <row r="5">
      <c r="A5" s="11" t="inlineStr">
        <is>
          <t>Mar/2024</t>
        </is>
      </c>
      <c r="B5" s="5" t="n">
        <v>29</v>
      </c>
      <c r="C5" s="13" t="n">
        <v>2</v>
      </c>
      <c r="D5" s="5" t="n">
        <v>0</v>
      </c>
      <c r="E5" s="15" t="n">
        <v>31</v>
      </c>
      <c r="F5" s="23">
        <f>D5/((B5+E5)/2)</f>
        <v/>
      </c>
      <c r="G5" s="23" t="n">
        <v>0.057</v>
      </c>
    </row>
    <row r="6">
      <c r="A6" s="11" t="inlineStr">
        <is>
          <t>Apr/2024</t>
        </is>
      </c>
      <c r="B6" s="5" t="n">
        <v>31</v>
      </c>
      <c r="C6" s="13" t="n">
        <v>1</v>
      </c>
      <c r="D6" s="14" t="n">
        <v>2</v>
      </c>
      <c r="E6" s="15" t="n">
        <v>30</v>
      </c>
      <c r="F6" s="23">
        <f>D6/((B6+E6)/2)</f>
        <v/>
      </c>
      <c r="G6" s="23" t="n">
        <v>0.063</v>
      </c>
    </row>
    <row r="7">
      <c r="A7" s="11" t="inlineStr">
        <is>
          <t>May/2024</t>
        </is>
      </c>
      <c r="B7" s="5" t="n">
        <v>30</v>
      </c>
      <c r="C7" s="13" t="n">
        <v>3</v>
      </c>
      <c r="D7" s="5" t="n">
        <v>0</v>
      </c>
      <c r="E7" s="15" t="n">
        <v>33</v>
      </c>
      <c r="F7" s="23">
        <f>D7/((B7+E7)/2)</f>
        <v/>
      </c>
      <c r="G7" s="23" t="n">
        <v>0.058</v>
      </c>
    </row>
    <row r="8">
      <c r="A8" s="11" t="inlineStr">
        <is>
          <t>Jun/2024</t>
        </is>
      </c>
      <c r="B8" s="5" t="n">
        <v>33</v>
      </c>
      <c r="C8" s="13" t="n">
        <v>1</v>
      </c>
      <c r="D8" s="5" t="n">
        <v>0</v>
      </c>
      <c r="E8" s="15" t="n">
        <v>34</v>
      </c>
      <c r="F8" s="23">
        <f>D8/((B8+E8)/2)</f>
        <v/>
      </c>
      <c r="G8" s="23" t="n">
        <v>0.063</v>
      </c>
    </row>
    <row r="9">
      <c r="A9" s="11" t="inlineStr">
        <is>
          <t>Jul/2024</t>
        </is>
      </c>
      <c r="B9" s="5" t="n">
        <v>34</v>
      </c>
      <c r="C9" s="5" t="n">
        <v>0</v>
      </c>
      <c r="D9" s="5" t="n">
        <v>0</v>
      </c>
      <c r="E9" s="15" t="n">
        <v>34</v>
      </c>
      <c r="F9" s="23">
        <f>D9/((B9+E9)/2)</f>
        <v/>
      </c>
      <c r="G9" s="23" t="n">
        <v>0.07000000000000001</v>
      </c>
    </row>
    <row r="10">
      <c r="A10" s="11" t="inlineStr">
        <is>
          <t>Aug/2024</t>
        </is>
      </c>
      <c r="B10" s="5" t="n">
        <v>34</v>
      </c>
      <c r="C10" s="5" t="n">
        <v>0</v>
      </c>
      <c r="D10" s="5" t="n">
        <v>0</v>
      </c>
      <c r="E10" s="15" t="n">
        <v>34</v>
      </c>
      <c r="F10" s="23">
        <f>D10/((B10+E10)/2)</f>
        <v/>
      </c>
      <c r="G10" s="23" t="n">
        <v>0.078</v>
      </c>
    </row>
    <row r="11">
      <c r="A11" s="11" t="inlineStr">
        <is>
          <t>Sep/2024</t>
        </is>
      </c>
      <c r="B11" s="5" t="n">
        <v>34</v>
      </c>
      <c r="C11" s="13" t="n">
        <v>1</v>
      </c>
      <c r="D11" s="5" t="n">
        <v>0</v>
      </c>
      <c r="E11" s="15" t="n">
        <v>35</v>
      </c>
      <c r="F11" s="23">
        <f>D11/((B11+E11)/2)</f>
        <v/>
      </c>
      <c r="G11" s="23" t="n">
        <v>0.062</v>
      </c>
    </row>
    <row r="12">
      <c r="A12" s="11" t="inlineStr">
        <is>
          <t>Oct/2024</t>
        </is>
      </c>
      <c r="B12" s="5" t="n">
        <v>35</v>
      </c>
      <c r="C12" s="13" t="n">
        <v>3</v>
      </c>
      <c r="D12" s="5" t="n">
        <v>0</v>
      </c>
      <c r="E12" s="15" t="n">
        <v>38</v>
      </c>
      <c r="F12" s="23">
        <f>D12/((B12+E12)/2)</f>
        <v/>
      </c>
      <c r="G12" s="23" t="n">
        <v>0.076</v>
      </c>
    </row>
    <row r="13">
      <c r="A13" s="11" t="inlineStr">
        <is>
          <t>Nov/2024</t>
        </is>
      </c>
      <c r="B13" s="5" t="n">
        <v>38</v>
      </c>
      <c r="C13" s="5" t="n">
        <v>0</v>
      </c>
      <c r="D13" s="5" t="n">
        <v>0</v>
      </c>
      <c r="E13" s="15" t="n">
        <v>38</v>
      </c>
      <c r="F13" s="23">
        <f>D13/((B13+E13)/2)</f>
        <v/>
      </c>
      <c r="G13" s="23" t="n">
        <v>0.061</v>
      </c>
    </row>
    <row r="14">
      <c r="A14" s="11" t="inlineStr">
        <is>
          <t>Dec/2024</t>
        </is>
      </c>
      <c r="B14" s="5" t="n">
        <v>38</v>
      </c>
      <c r="C14" s="13" t="n">
        <v>3</v>
      </c>
      <c r="D14" s="14" t="n">
        <v>1</v>
      </c>
      <c r="E14" s="15" t="n">
        <v>40</v>
      </c>
      <c r="F14" s="23">
        <f>D14/((B14+E14)/2)</f>
        <v/>
      </c>
      <c r="G14" s="23" t="n">
        <v>0.078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6" customWidth="1" min="4" max="4"/>
    <col width="20" customWidth="1" min="5" max="5"/>
  </cols>
  <sheetData>
    <row r="1" ht="28" customHeight="1">
      <c r="A1" s="24" t="inlineStr">
        <is>
          <t>INDICADORES PCD — DADOS SIMULADOS</t>
        </is>
      </c>
    </row>
    <row r="2" ht="20" customHeight="1">
      <c r="A2" s="4" t="inlineStr">
        <is>
          <t>Tipo de Deficiência</t>
        </is>
      </c>
      <c r="B2" s="4" t="inlineStr">
        <is>
          <t>CID</t>
        </is>
      </c>
      <c r="C2" s="4" t="inlineStr">
        <is>
          <t>Qtd Colaboradores</t>
        </is>
      </c>
      <c r="D2" s="4" t="inlineStr">
        <is>
          <t>% do Total PCD</t>
        </is>
      </c>
      <c r="E2" s="4" t="inlineStr">
        <is>
          <t>Status Cota Legal</t>
        </is>
      </c>
    </row>
    <row r="3">
      <c r="A3" s="25" t="inlineStr">
        <is>
          <t>Auditiva</t>
        </is>
      </c>
      <c r="B3" s="26" t="inlineStr">
        <is>
          <t>H90.3</t>
        </is>
      </c>
      <c r="C3" s="8" t="n">
        <v>2</v>
      </c>
      <c r="D3" s="23" t="n">
        <v>0.2857142857142857</v>
      </c>
      <c r="E3" s="27" t="inlineStr">
        <is>
          <t>✔ Dentro da cota</t>
        </is>
      </c>
    </row>
    <row r="4">
      <c r="A4" s="25" t="inlineStr">
        <is>
          <t>Visual</t>
        </is>
      </c>
      <c r="B4" s="26" t="inlineStr">
        <is>
          <t>H54</t>
        </is>
      </c>
      <c r="C4" s="8" t="n">
        <v>1</v>
      </c>
      <c r="D4" s="23" t="n">
        <v>0.1428571428571428</v>
      </c>
      <c r="E4" s="27" t="inlineStr">
        <is>
          <t>✔ Dentro da cota</t>
        </is>
      </c>
    </row>
    <row r="5">
      <c r="A5" s="25" t="inlineStr">
        <is>
          <t>Motora</t>
        </is>
      </c>
      <c r="B5" s="26" t="inlineStr">
        <is>
          <t>M80</t>
        </is>
      </c>
      <c r="C5" s="8" t="n">
        <v>2</v>
      </c>
      <c r="D5" s="23" t="n">
        <v>0.2857142857142857</v>
      </c>
      <c r="E5" s="27" t="inlineStr">
        <is>
          <t>✔ Dentro da cota</t>
        </is>
      </c>
    </row>
    <row r="6">
      <c r="A6" s="25" t="inlineStr">
        <is>
          <t>Intelectual</t>
        </is>
      </c>
      <c r="B6" s="26" t="inlineStr">
        <is>
          <t>F70</t>
        </is>
      </c>
      <c r="C6" s="8" t="n">
        <v>1</v>
      </c>
      <c r="D6" s="23" t="n">
        <v>0.1428571428571428</v>
      </c>
      <c r="E6" s="27" t="inlineStr">
        <is>
          <t>✔ Dentro da cota</t>
        </is>
      </c>
    </row>
    <row r="7">
      <c r="A7" s="25" t="inlineStr">
        <is>
          <t>Múltipla</t>
        </is>
      </c>
      <c r="B7" s="26" t="inlineStr">
        <is>
          <t>—</t>
        </is>
      </c>
      <c r="C7" s="8" t="n">
        <v>1</v>
      </c>
      <c r="D7" s="23" t="n">
        <v>0.1428571428571428</v>
      </c>
      <c r="E7" s="27" t="inlineStr">
        <is>
          <t>✔ Dentro da cota</t>
        </is>
      </c>
    </row>
    <row r="8">
      <c r="A8" s="28" t="inlineStr">
        <is>
          <t>TOTAL PCD</t>
        </is>
      </c>
      <c r="C8" s="29" t="n">
        <v>7</v>
      </c>
      <c r="D8" s="30">
        <f>C8/35</f>
        <v/>
      </c>
    </row>
    <row r="10" ht="18" customHeight="1">
      <c r="A10" s="31" t="inlineStr">
        <is>
          <t>📋 Cota Legal: Empresas com 100+ funcionários devem ter 2% a 5% de PCD (Lei 8.213/91)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2026-06-02T18:14:11Z</dcterms:created>
  <dcterms:modified xmlns:dcterms="http://purl.org/dc/terms/" xmlns:xsi="http://www.w3.org/2001/XMLSchema-instance" xsi:type="dcterms:W3CDTF">2026-06-02T18:20:27Z</dcterms:modified>
</cp:coreProperties>
</file>